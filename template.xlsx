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tschenau\Baggerbedrijf de Boer B.V\Jupyter Notebooks\kostentool\"/>
    </mc:Choice>
  </mc:AlternateContent>
  <xr:revisionPtr revIDLastSave="0" documentId="13_ncr:1_{E6714EF4-9591-491C-B374-1FF106EB8492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Insteekhavens Moerdijk" sheetId="3" r:id="rId1"/>
    <sheet name="Blad1" sheetId="4" r:id="rId2"/>
  </sheets>
  <definedNames>
    <definedName name="_xlnm.Print_Titles" localSheetId="0">'Insteekhavens Moerdijk'!$4:$4</definedName>
    <definedName name="area" localSheetId="0">'Insteekhavens Moerdijk'!#REF!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17" i="3" l="1"/>
  <c r="T20" i="4"/>
  <c r="T19" i="4"/>
  <c r="T18" i="4"/>
  <c r="T6" i="4" l="1"/>
  <c r="T7" i="4"/>
  <c r="T8" i="4"/>
  <c r="T9" i="4"/>
  <c r="T10" i="4"/>
  <c r="T11" i="4"/>
  <c r="T12" i="4"/>
  <c r="T13" i="4"/>
  <c r="T14" i="4"/>
  <c r="T15" i="4"/>
  <c r="T16" i="4"/>
  <c r="T17" i="4"/>
  <c r="T5" i="4"/>
  <c r="O18" i="3" l="1"/>
  <c r="E9" i="4"/>
  <c r="E8" i="4"/>
  <c r="E7" i="4"/>
  <c r="E6" i="4"/>
  <c r="E5" i="4"/>
  <c r="E4" i="4"/>
  <c r="E3" i="4"/>
  <c r="O19" i="3" l="1"/>
</calcChain>
</file>

<file path=xl/sharedStrings.xml><?xml version="1.0" encoding="utf-8"?>
<sst xmlns="http://schemas.openxmlformats.org/spreadsheetml/2006/main" count="156" uniqueCount="89">
  <si>
    <t>Aannemer:</t>
  </si>
  <si>
    <t xml:space="preserve">Herkomst: </t>
  </si>
  <si>
    <t>Losdatum</t>
  </si>
  <si>
    <t>Bon nr.</t>
  </si>
  <si>
    <t>Scheeps
naam</t>
  </si>
  <si>
    <t>Herkomst</t>
  </si>
  <si>
    <t>Gelost
volume
(m³)</t>
  </si>
  <si>
    <t>Gehaalde
productie
(m³/uur)</t>
  </si>
  <si>
    <t>Tarief per m³</t>
  </si>
  <si>
    <t>Loskosten</t>
  </si>
  <si>
    <t>Lostijd
(uu:mm)</t>
  </si>
  <si>
    <t>Maximale
lostijd
(uu:mm)</t>
  </si>
  <si>
    <t>Extra
lostijd
(uu:mm)</t>
  </si>
  <si>
    <t xml:space="preserve">Kosten
extra lostijd
</t>
  </si>
  <si>
    <t xml:space="preserve">Totale
kosten
</t>
  </si>
  <si>
    <t xml:space="preserve"> </t>
  </si>
  <si>
    <t>TOTAAL LOSKOSTEN</t>
  </si>
  <si>
    <t>De Heer land en water</t>
  </si>
  <si>
    <t>Vaarwegen Zuid-Holland T2 - T9</t>
  </si>
  <si>
    <t>huur</t>
  </si>
  <si>
    <t>rep</t>
  </si>
  <si>
    <t>brandstof</t>
  </si>
  <si>
    <t>assurantie</t>
  </si>
  <si>
    <t>personeel</t>
  </si>
  <si>
    <t>div</t>
  </si>
  <si>
    <t>AK</t>
  </si>
  <si>
    <t>Week 1</t>
  </si>
  <si>
    <t>Week 2</t>
  </si>
  <si>
    <t>Week 3</t>
  </si>
  <si>
    <t>Week 4</t>
  </si>
  <si>
    <t>Week 5</t>
  </si>
  <si>
    <t>Week 6</t>
  </si>
  <si>
    <t>Week 7</t>
  </si>
  <si>
    <t>Week 8</t>
  </si>
  <si>
    <t>Week 9</t>
  </si>
  <si>
    <t>Week 10</t>
  </si>
  <si>
    <t>Week 11</t>
  </si>
  <si>
    <t>Week 12</t>
  </si>
  <si>
    <t>Week 13</t>
  </si>
  <si>
    <t>KBN</t>
  </si>
  <si>
    <t>1000=0</t>
  </si>
  <si>
    <t>Week 14</t>
  </si>
  <si>
    <t>Tarief KBN</t>
  </si>
  <si>
    <t>Week 15</t>
  </si>
  <si>
    <t>Week 16</t>
  </si>
  <si>
    <t>Week 17</t>
  </si>
  <si>
    <t>Week 18</t>
  </si>
  <si>
    <t>Week 19</t>
  </si>
  <si>
    <t>Week 20</t>
  </si>
  <si>
    <t>Week 21</t>
  </si>
  <si>
    <t>Week 22</t>
  </si>
  <si>
    <t>Week 23</t>
  </si>
  <si>
    <t>Week 24</t>
  </si>
  <si>
    <t>Week 25</t>
  </si>
  <si>
    <t>Week 26</t>
  </si>
  <si>
    <t>Week 27</t>
  </si>
  <si>
    <t>Week 28</t>
  </si>
  <si>
    <t>Week 29</t>
  </si>
  <si>
    <t>Week 30</t>
  </si>
  <si>
    <t>Week 31</t>
  </si>
  <si>
    <t>Week 32</t>
  </si>
  <si>
    <t>Week 33</t>
  </si>
  <si>
    <t>Week 34</t>
  </si>
  <si>
    <t>Week 35</t>
  </si>
  <si>
    <t>Week 36</t>
  </si>
  <si>
    <t>Week 37</t>
  </si>
  <si>
    <t>Week 38</t>
  </si>
  <si>
    <t>Week 39</t>
  </si>
  <si>
    <t>Week 40</t>
  </si>
  <si>
    <t>Week 41</t>
  </si>
  <si>
    <t>Week 42</t>
  </si>
  <si>
    <t>Week 43</t>
  </si>
  <si>
    <t>Week 44</t>
  </si>
  <si>
    <t>Week 45</t>
  </si>
  <si>
    <t>Week 46</t>
  </si>
  <si>
    <t>Week 47</t>
  </si>
  <si>
    <t>Week 48</t>
  </si>
  <si>
    <t>Week 49</t>
  </si>
  <si>
    <t>Week 50</t>
  </si>
  <si>
    <t>Week 51</t>
  </si>
  <si>
    <t>Week 52</t>
  </si>
  <si>
    <t>gemiddeld 2025</t>
  </si>
  <si>
    <t>Index %</t>
  </si>
  <si>
    <t>toeslag brandstof</t>
  </si>
  <si>
    <t>meerkosten brandstof</t>
  </si>
  <si>
    <t>Meerkosten brandstoftoeslag</t>
  </si>
  <si>
    <t>Te voldoen</t>
  </si>
  <si>
    <t>KBN index</t>
  </si>
  <si>
    <t>Toeslagpercentage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</si>
</sst>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2" formatCode="_ &quot;€&quot;\ * #,##0_ ;_ &quot;€&quot;\ * \-#,##0_ ;_ &quot;€&quot;\ * &quot;-&quot;_ ;_ @_ "/>
    <numFmt numFmtId="44" formatCode="_ &quot;€&quot;\ * #,##0.00_ ;_ &quot;€&quot;\ * \-#,##0.00_ ;_ &quot;€&quot;\ * &quot;-&quot;??_ ;_ @_ "/>
    <numFmt numFmtId="164" formatCode="#,##0.00_ ;\-#,##0.00\ "/>
    <numFmt numFmtId="165" formatCode="[hh]:mm"/>
    <numFmt numFmtId="166" formatCode="_ &quot;€&quot;\ * #,##0.0_ ;_ &quot;€&quot;\ * \-#,##0.0_ ;_ &quot;€&quot;\ * &quot;-&quot;?_ ;_ @_ "/>
    <numFmt numFmtId="167" formatCode="_ &quot;€&quot;\ * #,##0.0_ ;_ &quot;€&quot;\ * \-#,##0.0_ ;_ &quot;€&quot;\ * &quot;-&quot;_ ;_ @_ "/>
  </numFmts>
  <fonts count="15" x14ac:knownFonts="1">
    <font>
      <sz val="10"/>
      <name val="Arial"/>
    </font>
    <font>
      <sz val="10"/>
      <name val="Franklin Gothic Heavy"/>
      <family val="2"/>
    </font>
    <font>
      <sz val="14"/>
      <name val="Franklin Gothic Heavy"/>
      <family val="2"/>
    </font>
    <font>
      <sz val="10"/>
      <name val="Franklin Gothic Book"/>
      <family val="2"/>
    </font>
    <font>
      <sz val="10"/>
      <color indexed="8"/>
      <name val="Franklin Gothic Book"/>
      <family val="2"/>
    </font>
    <font>
      <sz val="10"/>
      <color indexed="10"/>
      <name val="Franklin Gothic Book"/>
      <family val="2"/>
    </font>
    <font>
      <sz val="10"/>
      <color rgb="FF000000"/>
      <name val="Franklin Gothic Book"/>
      <family val="2"/>
    </font>
    <font>
      <b/>
      <sz val="10"/>
      <color theme="0"/>
      <name val="Franklin Gothic Book"/>
      <family val="2"/>
    </font>
    <font>
      <sz val="10"/>
      <color indexed="10"/>
      <name val="Franklin Gothic Heavy"/>
      <family val="2"/>
    </font>
    <font>
      <sz val="8"/>
      <name val="Arial"/>
      <family val="2"/>
    </font>
    <font>
      <sz val="10"/>
      <name val="Arial"/>
      <family val="2"/>
    </font>
    <font>
      <b/>
      <sz val="16"/>
      <name val="Arial"/>
      <family val="2"/>
    </font>
    <font>
      <b/>
      <sz val="12"/>
      <name val="Arial"/>
      <family val="2"/>
    </font>
    <font>
      <sz val="12"/>
      <name val="Franklin Gothic Heavy"/>
      <family val="2"/>
    </font>
    <font>
      <sz val="11"/>
      <color indexed="10"/>
      <name val="Franklin Gothic Heavy"/>
      <family val="2"/>
    </font>
  </fonts>
  <fills count="4">
    <fill>
      <patternFill patternType="none"/>
    </fill>
    <fill>
      <patternFill patternType="gray125"/>
    </fill>
    <fill>
      <patternFill patternType="solid">
        <fgColor rgb="FF035093"/>
        <bgColor indexed="64"/>
      </patternFill>
    </fill>
    <fill>
      <patternFill patternType="solid">
        <fgColor theme="0"/>
        <bgColor rgb="FFCCFFFF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 style="thin">
        <color indexed="64"/>
      </bottom>
      <diagonal/>
    </border>
    <border>
      <left style="thin">
        <color auto="1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2">
    <xf numFmtId="0" fontId="0" fillId="0" borderId="0"/>
    <xf numFmtId="44" fontId="10" fillId="0" borderId="0" applyFont="0" applyFill="0" applyBorder="0" applyAlignment="0" applyProtection="0"/>
  </cellStyleXfs>
  <cellXfs count="67">
    <xf numFmtId="0" fontId="0" fillId="0" borderId="0" xfId="0"/>
    <xf numFmtId="0" fontId="3" fillId="0" borderId="0" xfId="0" applyFont="1"/>
    <xf numFmtId="0" fontId="3" fillId="0" borderId="0" xfId="0" applyFont="1" applyAlignment="1">
      <alignment horizontal="center"/>
    </xf>
    <xf numFmtId="0" fontId="3" fillId="0" borderId="0" xfId="0" applyFont="1" applyAlignment="1">
      <alignment horizontal="left"/>
    </xf>
    <xf numFmtId="20" fontId="3" fillId="0" borderId="0" xfId="0" applyNumberFormat="1" applyFont="1" applyAlignment="1">
      <alignment horizontal="center"/>
    </xf>
    <xf numFmtId="1" fontId="5" fillId="0" borderId="0" xfId="0" applyNumberFormat="1" applyFont="1" applyAlignment="1">
      <alignment horizontal="center"/>
    </xf>
    <xf numFmtId="164" fontId="5" fillId="0" borderId="0" xfId="0" applyNumberFormat="1" applyFont="1" applyAlignment="1">
      <alignment horizontal="center"/>
    </xf>
    <xf numFmtId="20" fontId="5" fillId="0" borderId="0" xfId="0" applyNumberFormat="1" applyFont="1" applyAlignment="1">
      <alignment horizontal="center"/>
    </xf>
    <xf numFmtId="1" fontId="3" fillId="0" borderId="0" xfId="0" applyNumberFormat="1" applyFont="1"/>
    <xf numFmtId="164" fontId="3" fillId="0" borderId="0" xfId="0" applyNumberFormat="1" applyFont="1"/>
    <xf numFmtId="2" fontId="3" fillId="0" borderId="0" xfId="0" applyNumberFormat="1" applyFont="1"/>
    <xf numFmtId="0" fontId="1" fillId="0" borderId="0" xfId="0" applyFont="1"/>
    <xf numFmtId="0" fontId="2" fillId="0" borderId="0" xfId="0" applyFont="1"/>
    <xf numFmtId="0" fontId="6" fillId="3" borderId="1" xfId="0" applyFont="1" applyFill="1" applyBorder="1" applyAlignment="1">
      <alignment horizontal="center" vertical="center" wrapText="1"/>
    </xf>
    <xf numFmtId="1" fontId="4" fillId="0" borderId="1" xfId="0" applyNumberFormat="1" applyFont="1" applyBorder="1" applyAlignment="1">
      <alignment horizontal="center" vertical="center" wrapText="1"/>
    </xf>
    <xf numFmtId="0" fontId="1" fillId="0" borderId="0" xfId="0" applyFont="1" applyAlignment="1">
      <alignment horizontal="left"/>
    </xf>
    <xf numFmtId="0" fontId="7" fillId="2" borderId="1" xfId="0" applyFont="1" applyFill="1" applyBorder="1" applyAlignment="1">
      <alignment horizontal="center" vertical="top"/>
    </xf>
    <xf numFmtId="0" fontId="7" fillId="2" borderId="1" xfId="0" applyFont="1" applyFill="1" applyBorder="1" applyAlignment="1">
      <alignment horizontal="center" vertical="top" wrapText="1"/>
    </xf>
    <xf numFmtId="1" fontId="7" fillId="2" borderId="1" xfId="0" applyNumberFormat="1" applyFont="1" applyFill="1" applyBorder="1" applyAlignment="1">
      <alignment horizontal="center" vertical="top" wrapText="1"/>
    </xf>
    <xf numFmtId="20" fontId="7" fillId="2" borderId="1" xfId="0" applyNumberFormat="1" applyFont="1" applyFill="1" applyBorder="1" applyAlignment="1">
      <alignment horizontal="center" vertical="top" wrapText="1"/>
    </xf>
    <xf numFmtId="0" fontId="4" fillId="0" borderId="1" xfId="0" applyFont="1" applyBorder="1" applyAlignment="1">
      <alignment horizontal="center" vertical="center" wrapText="1"/>
    </xf>
    <xf numFmtId="1" fontId="5" fillId="0" borderId="1" xfId="0" applyNumberFormat="1" applyFont="1" applyBorder="1" applyAlignment="1">
      <alignment horizontal="center" vertical="center"/>
    </xf>
    <xf numFmtId="44" fontId="3" fillId="0" borderId="1" xfId="1" applyFont="1" applyBorder="1" applyAlignment="1">
      <alignment horizontal="center" vertical="center"/>
    </xf>
    <xf numFmtId="44" fontId="5" fillId="0" borderId="1" xfId="1" applyFont="1" applyBorder="1" applyAlignment="1">
      <alignment horizontal="center" vertical="center"/>
    </xf>
    <xf numFmtId="20" fontId="3" fillId="0" borderId="1" xfId="0" applyNumberFormat="1" applyFont="1" applyBorder="1" applyAlignment="1">
      <alignment horizontal="center" vertical="center"/>
    </xf>
    <xf numFmtId="20" fontId="5" fillId="0" borderId="1" xfId="0" applyNumberFormat="1" applyFont="1" applyBorder="1" applyAlignment="1">
      <alignment horizontal="center" vertical="center"/>
    </xf>
    <xf numFmtId="42" fontId="3" fillId="0" borderId="0" xfId="0" applyNumberFormat="1" applyFont="1"/>
    <xf numFmtId="44" fontId="3" fillId="0" borderId="0" xfId="0" applyNumberFormat="1" applyFont="1"/>
    <xf numFmtId="0" fontId="3" fillId="0" borderId="0" xfId="0" applyFont="1" applyAlignment="1">
      <alignment horizontal="right"/>
    </xf>
    <xf numFmtId="164" fontId="8" fillId="0" borderId="0" xfId="0" applyNumberFormat="1" applyFont="1" applyAlignment="1">
      <alignment horizontal="right"/>
    </xf>
    <xf numFmtId="14" fontId="6" fillId="3" borderId="1" xfId="0" applyNumberFormat="1" applyFont="1" applyFill="1" applyBorder="1" applyAlignment="1">
      <alignment horizontal="center" vertical="center" wrapText="1"/>
    </xf>
    <xf numFmtId="165" fontId="3" fillId="0" borderId="0" xfId="0" applyNumberFormat="1" applyFont="1" applyAlignment="1">
      <alignment horizontal="center"/>
    </xf>
    <xf numFmtId="20" fontId="3" fillId="0" borderId="0" xfId="0" applyNumberFormat="1" applyFont="1" applyAlignment="1">
      <alignment horizontal="right"/>
    </xf>
    <xf numFmtId="0" fontId="10" fillId="0" borderId="0" xfId="0" applyFont="1"/>
    <xf numFmtId="9" fontId="0" fillId="0" borderId="0" xfId="0" applyNumberFormat="1"/>
    <xf numFmtId="1" fontId="0" fillId="0" borderId="0" xfId="0" applyNumberFormat="1"/>
    <xf numFmtId="16" fontId="0" fillId="0" borderId="0" xfId="0" applyNumberFormat="1"/>
    <xf numFmtId="44" fontId="0" fillId="0" borderId="0" xfId="0" applyNumberFormat="1"/>
    <xf numFmtId="9" fontId="3" fillId="0" borderId="0" xfId="0" applyNumberFormat="1" applyFont="1" applyAlignment="1">
      <alignment horizontal="right"/>
    </xf>
    <xf numFmtId="42" fontId="3" fillId="0" borderId="0" xfId="0" applyNumberFormat="1" applyFont="1" applyAlignment="1">
      <alignment horizontal="right"/>
    </xf>
    <xf numFmtId="10" fontId="0" fillId="0" borderId="0" xfId="0" applyNumberFormat="1"/>
    <xf numFmtId="0" fontId="11" fillId="0" borderId="0" xfId="0" applyFont="1" applyAlignment="1">
      <alignment horizontal="left"/>
    </xf>
    <xf numFmtId="0" fontId="12" fillId="0" borderId="0" xfId="0" applyFont="1" applyAlignment="1">
      <alignment horizontal="right"/>
    </xf>
    <xf numFmtId="166" fontId="0" fillId="0" borderId="0" xfId="0" applyNumberFormat="1"/>
    <xf numFmtId="0" fontId="0" fillId="0" borderId="3" xfId="0" applyBorder="1"/>
    <xf numFmtId="0" fontId="10" fillId="0" borderId="2" xfId="0" applyFont="1" applyBorder="1"/>
    <xf numFmtId="0" fontId="0" fillId="0" borderId="4" xfId="0" applyBorder="1"/>
    <xf numFmtId="0" fontId="0" fillId="0" borderId="2" xfId="0" applyBorder="1"/>
    <xf numFmtId="2" fontId="0" fillId="0" borderId="4" xfId="0" applyNumberFormat="1" applyBorder="1"/>
    <xf numFmtId="0" fontId="11" fillId="0" borderId="5" xfId="0" applyFont="1" applyBorder="1" applyAlignment="1">
      <alignment horizontal="left"/>
    </xf>
    <xf numFmtId="0" fontId="10" fillId="0" borderId="6" xfId="0" applyFont="1" applyBorder="1"/>
    <xf numFmtId="0" fontId="0" fillId="0" borderId="6" xfId="0" applyBorder="1"/>
    <xf numFmtId="0" fontId="10" fillId="0" borderId="7" xfId="0" applyFont="1" applyBorder="1" applyAlignment="1">
      <alignment horizontal="right"/>
    </xf>
    <xf numFmtId="42" fontId="3" fillId="0" borderId="1" xfId="0" applyNumberFormat="1" applyFont="1" applyBorder="1" applyAlignment="1">
      <alignment horizontal="center" vertical="center"/>
    </xf>
    <xf numFmtId="0" fontId="13" fillId="0" borderId="0" xfId="0" applyFont="1"/>
    <xf numFmtId="1" fontId="5" fillId="0" borderId="8" xfId="0" applyNumberFormat="1" applyFont="1" applyBorder="1" applyAlignment="1">
      <alignment horizontal="center"/>
    </xf>
    <xf numFmtId="164" fontId="8" fillId="0" borderId="8" xfId="0" applyNumberFormat="1" applyFont="1" applyBorder="1" applyAlignment="1">
      <alignment horizontal="right"/>
    </xf>
    <xf numFmtId="44" fontId="8" fillId="0" borderId="9" xfId="0" applyNumberFormat="1" applyFont="1" applyBorder="1" applyAlignment="1">
      <alignment horizontal="left"/>
    </xf>
    <xf numFmtId="44" fontId="8" fillId="0" borderId="7" xfId="0" applyNumberFormat="1" applyFont="1" applyBorder="1" applyAlignment="1">
      <alignment horizontal="left"/>
    </xf>
    <xf numFmtId="44" fontId="14" fillId="0" borderId="7" xfId="0" applyNumberFormat="1" applyFont="1" applyBorder="1" applyAlignment="1">
      <alignment horizontal="left"/>
    </xf>
    <xf numFmtId="20" fontId="3" fillId="0" borderId="0" xfId="0" applyNumberFormat="1" applyFont="1" applyAlignment="1">
      <alignment horizontal="left"/>
    </xf>
    <xf numFmtId="0" fontId="0" fillId="0" borderId="7" xfId="0" applyBorder="1"/>
    <xf numFmtId="0" fontId="13" fillId="0" borderId="0" xfId="0" applyFont="1" applyAlignment="1">
      <alignment horizontal="right"/>
    </xf>
    <xf numFmtId="167" fontId="2" fillId="0" borderId="0" xfId="0" applyNumberFormat="1" applyFont="1"/>
    <xf numFmtId="10" fontId="3" fillId="0" borderId="1" xfId="0" applyNumberFormat="1" applyFont="1" applyBorder="1" applyAlignment="1">
      <alignment horizontal="center" vertical="center"/>
    </xf>
    <xf numFmtId="10" fontId="2" fillId="0" borderId="0" xfId="0" applyNumberFormat="1" applyFont="1"/>
    <xf numFmtId="0" fontId="1" fillId="0" borderId="0" xfId="0" applyFont="1" applyAlignment="1">
      <alignment horizontal="left"/>
    </xf>
  </cellXfs>
  <cellStyles count="2">
    <cellStyle name="Standaard" xfId="0" builtinId="0"/>
    <cellStyle name="Valuta" xfId="1" builtinId="4"/>
  </cellStyles>
  <dxfs count="3">
    <dxf>
      <fill>
        <patternFill>
          <bgColor rgb="FF00B050"/>
        </patternFill>
      </fill>
    </dxf>
    <dxf>
      <fill>
        <patternFill>
          <bgColor rgb="FF92D050"/>
        </patternFill>
      </fill>
    </dxf>
    <dxf>
      <font>
        <condense val="0"/>
        <extend val="0"/>
        <color indexed="9"/>
      </font>
    </dxf>
  </dxfs>
  <tableStyles count="0" defaultTableStyle="TableStyleMedium9" defaultPivotStyle="PivotStyleLight16"/>
  <colors>
    <mruColors>
      <color rgb="FF03509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2ECCE2-924E-4E30-9AE7-F00577C8340C}">
  <sheetPr>
    <pageSetUpPr fitToPage="1"/>
  </sheetPr>
  <dimension ref="A1:Q778"/>
  <sheetViews>
    <sheetView showGridLines="0" tabSelected="1" view="pageLayout" zoomScale="130" zoomScaleNormal="115" zoomScalePageLayoutView="130" workbookViewId="0">
      <selection activeCell="C6" sqref="C6"/>
    </sheetView>
  </sheetViews>
  <sheetFormatPr defaultColWidth="9.140625" defaultRowHeight="13.5" x14ac:dyDescent="0.25"/>
  <cols>
    <col min="1" max="1" width="12.42578125" style="1" customWidth="1"/>
    <col min="2" max="2" width="12.140625" style="2" customWidth="1"/>
    <col min="3" max="3" width="10.5703125" style="1" customWidth="1"/>
    <col min="4" max="4" width="21.85546875" style="3" customWidth="1"/>
    <col min="5" max="5" width="9" style="1" bestFit="1" customWidth="1"/>
    <col min="6" max="6" width="10" style="1" bestFit="1" customWidth="1"/>
    <col min="7" max="7" width="8.42578125" style="1" customWidth="1"/>
    <col min="8" max="8" width="11.140625" style="1" bestFit="1" customWidth="1"/>
    <col min="9" max="9" width="9.28515625" style="1" customWidth="1"/>
    <col min="10" max="10" width="10.28515625" style="1" customWidth="1"/>
    <col min="11" max="11" width="12" style="1" customWidth="1"/>
    <col min="12" max="12" width="13.140625" style="1" customWidth="1"/>
    <col min="13" max="13" width="10.28515625" style="1" customWidth="1"/>
    <col min="14" max="14" width="12" style="1" customWidth="1"/>
    <col min="15" max="15" width="17.7109375" style="1" customWidth="1"/>
    <col min="16" max="16384" width="9.140625" style="1"/>
  </cols>
  <sheetData>
    <row r="1" spans="1:17" s="11" customFormat="1" ht="19.5" x14ac:dyDescent="0.35">
      <c r="A1" s="11" t="s">
        <v>0</v>
      </c>
      <c r="B1" s="15" t="s">
        <v>17</v>
      </c>
      <c r="C1" s="15"/>
      <c r="D1" s="15"/>
      <c r="G1" s="12"/>
      <c r="H1" s="12"/>
      <c r="I1" s="12"/>
      <c r="J1" s="12"/>
      <c r="K1" s="54" t="s">
        <v>87</v>
      </c>
      <c r="L1" s="63">
        <v>1463.8</v>
      </c>
    </row>
    <row r="2" spans="1:17" ht="19.5" x14ac:dyDescent="0.35">
      <c r="A2" s="11" t="s">
        <v>1</v>
      </c>
      <c r="B2" s="66" t="s">
        <v>18</v>
      </c>
      <c r="C2" s="66"/>
      <c r="D2" s="66"/>
      <c r="K2" s="62" t="s">
        <v>88</v>
      </c>
      <c r="L2" s="65">
        <v>0.33069999999999999</v>
      </c>
    </row>
    <row r="4" spans="1:17" ht="42" customHeight="1" x14ac:dyDescent="0.25">
      <c r="A4" s="16" t="s">
        <v>2</v>
      </c>
      <c r="B4" s="16" t="s">
        <v>3</v>
      </c>
      <c r="C4" s="17" t="s">
        <v>4</v>
      </c>
      <c r="D4" s="16" t="s">
        <v>5</v>
      </c>
      <c r="E4" s="17" t="s">
        <v>6</v>
      </c>
      <c r="F4" s="18" t="s">
        <v>7</v>
      </c>
      <c r="G4" s="17" t="s">
        <v>8</v>
      </c>
      <c r="H4" s="17" t="s">
        <v>9</v>
      </c>
      <c r="I4" s="17" t="s">
        <v>10</v>
      </c>
      <c r="J4" s="17" t="s">
        <v>83</v>
      </c>
      <c r="K4" s="17" t="s">
        <v>84</v>
      </c>
      <c r="L4" s="17" t="s">
        <v>11</v>
      </c>
      <c r="M4" s="19" t="s">
        <v>12</v>
      </c>
      <c r="N4" s="17" t="s">
        <v>13</v>
      </c>
      <c r="O4" s="17" t="s">
        <v>14</v>
      </c>
    </row>
    <row r="5" spans="1:17" ht="23.25" customHeight="1" x14ac:dyDescent="0.25">
      <c r="A5" s="30"/>
      <c r="B5" s="13"/>
      <c r="C5" s="20"/>
      <c r="D5" s="20"/>
      <c r="E5" s="14"/>
      <c r="F5" s="21"/>
      <c r="G5" s="22"/>
      <c r="H5" s="23"/>
      <c r="I5" s="24"/>
      <c r="J5" s="64"/>
      <c r="K5" s="53"/>
      <c r="L5" s="25"/>
      <c r="M5" s="25"/>
      <c r="N5" s="23"/>
      <c r="O5" s="23"/>
    </row>
    <row r="6" spans="1:17" ht="23.25" customHeight="1" x14ac:dyDescent="0.25">
      <c r="A6" s="30"/>
      <c r="B6" s="13"/>
      <c r="C6" s="20"/>
      <c r="D6" s="20"/>
      <c r="E6" s="14"/>
      <c r="F6" s="21"/>
      <c r="G6" s="22"/>
      <c r="H6" s="23"/>
      <c r="I6" s="24"/>
      <c r="J6" s="64"/>
      <c r="K6" s="53"/>
      <c r="L6" s="25"/>
      <c r="M6" s="25"/>
      <c r="N6" s="23"/>
      <c r="O6" s="23"/>
    </row>
    <row r="7" spans="1:17" ht="23.25" customHeight="1" x14ac:dyDescent="0.25">
      <c r="A7" s="30"/>
      <c r="B7" s="13"/>
      <c r="C7" s="20"/>
      <c r="D7" s="20"/>
      <c r="E7" s="14"/>
      <c r="F7" s="21"/>
      <c r="G7" s="22"/>
      <c r="H7" s="23"/>
      <c r="I7" s="24"/>
      <c r="J7" s="64"/>
      <c r="K7" s="53"/>
      <c r="L7" s="25"/>
      <c r="M7" s="25"/>
      <c r="N7" s="23"/>
      <c r="O7" s="23"/>
      <c r="Q7" s="8"/>
    </row>
    <row r="8" spans="1:17" ht="23.25" customHeight="1" x14ac:dyDescent="0.25">
      <c r="A8" s="30"/>
      <c r="B8" s="13"/>
      <c r="C8" s="20"/>
      <c r="D8" s="20"/>
      <c r="E8" s="14"/>
      <c r="F8" s="21"/>
      <c r="G8" s="22"/>
      <c r="H8" s="23"/>
      <c r="I8" s="24"/>
      <c r="J8" s="64"/>
      <c r="K8" s="53"/>
      <c r="L8" s="25"/>
      <c r="M8" s="25"/>
      <c r="N8" s="23"/>
      <c r="O8" s="23"/>
    </row>
    <row r="9" spans="1:17" ht="23.25" customHeight="1" x14ac:dyDescent="0.25">
      <c r="A9" s="30"/>
      <c r="B9" s="13"/>
      <c r="C9" s="20"/>
      <c r="D9" s="20"/>
      <c r="E9" s="14"/>
      <c r="F9" s="21"/>
      <c r="G9" s="22"/>
      <c r="H9" s="23"/>
      <c r="I9" s="24"/>
      <c r="J9" s="64"/>
      <c r="K9" s="53"/>
      <c r="L9" s="25"/>
      <c r="M9" s="25"/>
      <c r="N9" s="23"/>
      <c r="O9" s="23"/>
    </row>
    <row r="10" spans="1:17" ht="23.25" customHeight="1" x14ac:dyDescent="0.25">
      <c r="A10" s="30"/>
      <c r="B10" s="13"/>
      <c r="C10" s="20"/>
      <c r="D10" s="20"/>
      <c r="E10" s="14"/>
      <c r="F10" s="21"/>
      <c r="G10" s="22"/>
      <c r="H10" s="23"/>
      <c r="I10" s="24"/>
      <c r="J10" s="64"/>
      <c r="K10" s="53"/>
      <c r="L10" s="25"/>
      <c r="M10" s="25"/>
      <c r="N10" s="23"/>
      <c r="O10" s="23"/>
    </row>
    <row r="11" spans="1:17" ht="23.25" customHeight="1" x14ac:dyDescent="0.25">
      <c r="A11" s="30"/>
      <c r="B11" s="13"/>
      <c r="C11" s="20"/>
      <c r="D11" s="20"/>
      <c r="E11" s="14"/>
      <c r="F11" s="21"/>
      <c r="G11" s="22"/>
      <c r="H11" s="23"/>
      <c r="I11" s="24"/>
      <c r="J11" s="64"/>
      <c r="K11" s="53"/>
      <c r="L11" s="25"/>
      <c r="M11" s="25"/>
      <c r="N11" s="23"/>
      <c r="O11" s="23"/>
    </row>
    <row r="12" spans="1:17" ht="23.25" customHeight="1" x14ac:dyDescent="0.25">
      <c r="A12" s="30"/>
      <c r="B12" s="13"/>
      <c r="C12" s="20"/>
      <c r="D12" s="20"/>
      <c r="E12" s="14"/>
      <c r="F12" s="21"/>
      <c r="G12" s="22"/>
      <c r="H12" s="23"/>
      <c r="I12" s="24"/>
      <c r="J12" s="64"/>
      <c r="K12" s="53"/>
      <c r="L12" s="25"/>
      <c r="M12" s="25"/>
      <c r="N12" s="23"/>
      <c r="O12" s="23"/>
    </row>
    <row r="13" spans="1:17" ht="23.25" customHeight="1" x14ac:dyDescent="0.25">
      <c r="A13" s="30"/>
      <c r="B13" s="13"/>
      <c r="C13" s="20"/>
      <c r="D13" s="20"/>
      <c r="E13" s="14"/>
      <c r="F13" s="21"/>
      <c r="G13" s="22"/>
      <c r="H13" s="23"/>
      <c r="I13" s="24"/>
      <c r="J13" s="64"/>
      <c r="K13" s="53"/>
      <c r="L13" s="25"/>
      <c r="M13" s="25"/>
      <c r="N13" s="23"/>
      <c r="O13" s="23"/>
    </row>
    <row r="14" spans="1:17" ht="23.25" customHeight="1" x14ac:dyDescent="0.25">
      <c r="A14" s="30"/>
      <c r="B14" s="13"/>
      <c r="C14" s="20"/>
      <c r="D14" s="20"/>
      <c r="E14" s="14"/>
      <c r="F14" s="21"/>
      <c r="G14" s="22"/>
      <c r="H14" s="23"/>
      <c r="I14" s="24"/>
      <c r="J14" s="64"/>
      <c r="K14" s="53"/>
      <c r="L14" s="25"/>
      <c r="M14" s="25"/>
      <c r="N14" s="23"/>
      <c r="O14" s="23"/>
    </row>
    <row r="15" spans="1:17" ht="23.25" customHeight="1" x14ac:dyDescent="0.25">
      <c r="A15" s="30"/>
      <c r="B15" s="13"/>
      <c r="C15" s="20"/>
      <c r="D15" s="20"/>
      <c r="E15" s="14"/>
      <c r="F15" s="21"/>
      <c r="G15" s="22"/>
      <c r="H15" s="23"/>
      <c r="I15" s="24"/>
      <c r="J15" s="64"/>
      <c r="K15" s="53"/>
      <c r="L15" s="25"/>
      <c r="M15" s="25"/>
      <c r="N15" s="23"/>
      <c r="O15" s="23"/>
    </row>
    <row r="16" spans="1:17" ht="23.25" customHeight="1" x14ac:dyDescent="0.25">
      <c r="A16" s="30"/>
      <c r="B16" s="13"/>
      <c r="C16" s="20"/>
      <c r="D16" s="20"/>
      <c r="E16" s="14"/>
      <c r="F16" s="21"/>
      <c r="G16" s="22"/>
      <c r="H16" s="23"/>
      <c r="I16" s="24"/>
      <c r="J16" s="64"/>
      <c r="K16" s="53"/>
      <c r="L16" s="25"/>
      <c r="M16" s="25"/>
      <c r="N16" s="23"/>
      <c r="O16" s="23"/>
    </row>
    <row r="17" spans="1:15" x14ac:dyDescent="0.25">
      <c r="E17" s="2" t="s">
        <v>15</v>
      </c>
      <c r="F17" s="5"/>
      <c r="G17" s="6"/>
      <c r="H17" s="6"/>
      <c r="I17" s="31"/>
      <c r="J17" s="31"/>
      <c r="K17" s="31"/>
      <c r="L17" s="7"/>
      <c r="M17" s="7"/>
      <c r="N17" s="29" t="s">
        <v>16</v>
      </c>
      <c r="O17" s="57">
        <f>SUM(O5:O16)</f>
        <v>0</v>
      </c>
    </row>
    <row r="18" spans="1:15" x14ac:dyDescent="0.25">
      <c r="E18" s="2"/>
      <c r="F18" s="5"/>
      <c r="G18" s="6"/>
      <c r="H18" s="6"/>
      <c r="I18" s="4"/>
      <c r="J18" s="4"/>
      <c r="K18" s="4"/>
      <c r="L18" s="55"/>
      <c r="M18" s="55"/>
      <c r="N18" s="56" t="s">
        <v>85</v>
      </c>
      <c r="O18" s="58">
        <f>SUM(K5:K16)</f>
        <v>0</v>
      </c>
    </row>
    <row r="19" spans="1:15" ht="15.75" x14ac:dyDescent="0.3">
      <c r="A19" s="28"/>
      <c r="B19" s="28"/>
      <c r="C19" s="28"/>
      <c r="D19" s="28"/>
      <c r="E19" s="28"/>
      <c r="F19" s="28"/>
      <c r="G19" s="28"/>
      <c r="H19" s="28"/>
      <c r="I19" s="32"/>
      <c r="J19" s="32"/>
      <c r="K19" s="32"/>
      <c r="L19" s="38"/>
      <c r="M19" s="39"/>
      <c r="N19" s="56" t="s">
        <v>86</v>
      </c>
      <c r="O19" s="59">
        <f>O17+O18</f>
        <v>0</v>
      </c>
    </row>
    <row r="20" spans="1:15" x14ac:dyDescent="0.25">
      <c r="E20" s="8"/>
      <c r="I20" s="4"/>
      <c r="J20" s="4"/>
      <c r="K20" s="4"/>
      <c r="M20" s="26"/>
      <c r="N20" s="9"/>
      <c r="O20" s="9"/>
    </row>
    <row r="21" spans="1:15" x14ac:dyDescent="0.25">
      <c r="O21" s="10"/>
    </row>
    <row r="24" spans="1:15" x14ac:dyDescent="0.25">
      <c r="M24" s="8"/>
      <c r="N24" s="8"/>
    </row>
    <row r="25" spans="1:15" x14ac:dyDescent="0.25">
      <c r="N25" s="26"/>
    </row>
    <row r="26" spans="1:15" x14ac:dyDescent="0.25">
      <c r="D26" s="60"/>
      <c r="E26" s="10"/>
      <c r="N26" s="27"/>
    </row>
    <row r="27" spans="1:15" x14ac:dyDescent="0.25">
      <c r="N27" s="10"/>
    </row>
    <row r="29" spans="1:15" x14ac:dyDescent="0.25">
      <c r="M29" s="28"/>
      <c r="N29" s="10"/>
    </row>
    <row r="775" ht="12.75" customHeight="1" x14ac:dyDescent="0.25"/>
    <row r="776" ht="12" customHeight="1" x14ac:dyDescent="0.25"/>
    <row r="778" ht="12.75" customHeight="1" x14ac:dyDescent="0.25"/>
  </sheetData>
  <mergeCells count="1">
    <mergeCell ref="B2:D2"/>
  </mergeCells>
  <phoneticPr fontId="9" type="noConversion"/>
  <conditionalFormatting sqref="E5:E16">
    <cfRule type="cellIs" dxfId="2" priority="3" stopIfTrue="1" operator="lessThanOrEqual">
      <formula>0</formula>
    </cfRule>
  </conditionalFormatting>
  <conditionalFormatting sqref="N27">
    <cfRule type="cellIs" dxfId="1" priority="1" operator="equal">
      <formula>$O$17</formula>
    </cfRule>
    <cfRule type="cellIs" dxfId="0" priority="2" operator="equal">
      <formula>#REF!</formula>
    </cfRule>
  </conditionalFormatting>
  <pageMargins left="0.23622047244094491" right="0.23622047244094491" top="0.98425196850393704" bottom="0.74803149606299213" header="0.31496062992125984" footer="0.31496062992125984"/>
  <pageSetup paperSize="9" scale="81" fitToHeight="0" orientation="landscape" horizontalDpi="4294967293" r:id="rId1"/>
  <headerFooter alignWithMargins="0">
    <oddHeader>&amp;L&amp;G&amp;C&amp;"Franklin Gothic Heavy,Standaard"&amp;14&amp;K035093LOSKOSTEN&amp;K000000
WEEK 18 - 2026</oddHeader>
  </headerFooter>
  <legacyDrawingHF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B9EA19-C05F-43F5-AFDC-428FF79A4F3C}">
  <dimension ref="C2:Y54"/>
  <sheetViews>
    <sheetView topLeftCell="G1" workbookViewId="0">
      <selection activeCell="T20" sqref="T20"/>
    </sheetView>
  </sheetViews>
  <sheetFormatPr defaultRowHeight="12.75" x14ac:dyDescent="0.2"/>
  <cols>
    <col min="12" max="13" width="9.28515625" bestFit="1" customWidth="1"/>
    <col min="17" max="17" width="9.85546875" customWidth="1"/>
    <col min="18" max="18" width="0" hidden="1" customWidth="1"/>
    <col min="20" max="20" width="10.5703125" customWidth="1"/>
    <col min="24" max="24" width="9.7109375" bestFit="1" customWidth="1"/>
  </cols>
  <sheetData>
    <row r="2" spans="3:25" ht="20.25" x14ac:dyDescent="0.3">
      <c r="H2" s="41">
        <v>2025</v>
      </c>
      <c r="I2" s="33" t="s">
        <v>42</v>
      </c>
      <c r="P2" s="49">
        <v>2026</v>
      </c>
      <c r="Q2" s="50" t="s">
        <v>42</v>
      </c>
      <c r="R2" s="51"/>
      <c r="S2" s="61"/>
      <c r="T2" s="52" t="s">
        <v>82</v>
      </c>
      <c r="W2" s="42" t="s">
        <v>81</v>
      </c>
      <c r="X2" s="43">
        <v>969</v>
      </c>
    </row>
    <row r="3" spans="3:25" ht="15.75" x14ac:dyDescent="0.25">
      <c r="C3" s="33" t="s">
        <v>19</v>
      </c>
      <c r="D3">
        <v>75</v>
      </c>
      <c r="E3" s="35" t="e">
        <f>(D3*100)/H3</f>
        <v>#VALUE!</v>
      </c>
      <c r="G3" s="33"/>
      <c r="H3" t="s">
        <v>26</v>
      </c>
      <c r="I3">
        <v>982.9</v>
      </c>
      <c r="P3" s="45" t="s">
        <v>26</v>
      </c>
      <c r="Q3" s="44">
        <v>960.3</v>
      </c>
      <c r="R3" s="44">
        <v>1012</v>
      </c>
      <c r="S3" s="46">
        <v>1100</v>
      </c>
      <c r="T3" s="46"/>
      <c r="W3" s="42">
        <v>2026</v>
      </c>
      <c r="X3" s="43">
        <v>1100</v>
      </c>
      <c r="Y3" s="40">
        <v>1</v>
      </c>
    </row>
    <row r="4" spans="3:25" x14ac:dyDescent="0.2">
      <c r="C4" s="33" t="s">
        <v>20</v>
      </c>
      <c r="D4">
        <v>100</v>
      </c>
      <c r="E4" s="35" t="e">
        <f>(D4*H2)/H3</f>
        <v>#VALUE!</v>
      </c>
      <c r="H4" t="s">
        <v>27</v>
      </c>
      <c r="I4">
        <v>999.6</v>
      </c>
      <c r="P4" s="47" t="s">
        <v>27</v>
      </c>
      <c r="Q4" s="44">
        <v>975.6</v>
      </c>
      <c r="R4" s="44">
        <v>1012</v>
      </c>
      <c r="S4" s="46">
        <v>1100</v>
      </c>
      <c r="T4" s="46"/>
    </row>
    <row r="5" spans="3:25" x14ac:dyDescent="0.2">
      <c r="C5" s="33" t="s">
        <v>21</v>
      </c>
      <c r="D5">
        <v>134</v>
      </c>
      <c r="E5" s="35" t="e">
        <f>(D5*H2)/H3</f>
        <v>#VALUE!</v>
      </c>
      <c r="H5" t="s">
        <v>28</v>
      </c>
      <c r="I5">
        <v>1011.2</v>
      </c>
      <c r="P5" s="47" t="s">
        <v>28</v>
      </c>
      <c r="Q5" s="44">
        <v>1012</v>
      </c>
      <c r="R5" s="44">
        <v>1012</v>
      </c>
      <c r="S5" s="46">
        <v>1100</v>
      </c>
      <c r="T5" s="48">
        <f>((Q5*100)/S5)-100</f>
        <v>-8</v>
      </c>
    </row>
    <row r="6" spans="3:25" x14ac:dyDescent="0.2">
      <c r="C6" s="33" t="s">
        <v>22</v>
      </c>
      <c r="D6">
        <v>12</v>
      </c>
      <c r="E6" s="35" t="e">
        <f>(D6*H2)/H3</f>
        <v>#VALUE!</v>
      </c>
      <c r="H6" t="s">
        <v>29</v>
      </c>
      <c r="I6">
        <v>1040.5</v>
      </c>
      <c r="P6" s="47" t="s">
        <v>29</v>
      </c>
      <c r="Q6" s="44">
        <v>1039.5</v>
      </c>
      <c r="R6" s="44">
        <v>1012</v>
      </c>
      <c r="S6" s="46">
        <v>1100</v>
      </c>
      <c r="T6" s="48">
        <f t="shared" ref="T6:T20" si="0">((Q6*100)/S6)-100</f>
        <v>-5.5</v>
      </c>
    </row>
    <row r="7" spans="3:25" x14ac:dyDescent="0.2">
      <c r="C7" s="33" t="s">
        <v>23</v>
      </c>
      <c r="D7">
        <v>184</v>
      </c>
      <c r="E7" s="35" t="e">
        <f>(D7*H2)/H3</f>
        <v>#VALUE!</v>
      </c>
      <c r="H7" t="s">
        <v>30</v>
      </c>
      <c r="I7">
        <v>1027</v>
      </c>
      <c r="P7" s="47" t="s">
        <v>30</v>
      </c>
      <c r="Q7" s="44">
        <v>1028.3</v>
      </c>
      <c r="R7" s="44">
        <v>1012</v>
      </c>
      <c r="S7" s="46">
        <v>1100</v>
      </c>
      <c r="T7" s="48">
        <f t="shared" si="0"/>
        <v>-6.5181818181818159</v>
      </c>
    </row>
    <row r="8" spans="3:25" x14ac:dyDescent="0.2">
      <c r="C8" s="33" t="s">
        <v>24</v>
      </c>
      <c r="D8">
        <v>20</v>
      </c>
      <c r="E8" s="35" t="e">
        <f>(D8*H2)/H3</f>
        <v>#VALUE!</v>
      </c>
      <c r="H8" t="s">
        <v>31</v>
      </c>
      <c r="I8">
        <v>1013.5</v>
      </c>
      <c r="P8" s="47" t="s">
        <v>31</v>
      </c>
      <c r="Q8" s="44">
        <v>1063.0999999999999</v>
      </c>
      <c r="R8" s="44">
        <v>1012</v>
      </c>
      <c r="S8" s="46">
        <v>1100</v>
      </c>
      <c r="T8" s="48">
        <f t="shared" si="0"/>
        <v>-3.3545454545454731</v>
      </c>
    </row>
    <row r="9" spans="3:25" x14ac:dyDescent="0.2">
      <c r="C9" s="33" t="s">
        <v>25</v>
      </c>
      <c r="D9">
        <v>79</v>
      </c>
      <c r="E9" s="35" t="e">
        <f>(D9*H2)/H3</f>
        <v>#VALUE!</v>
      </c>
      <c r="H9" t="s">
        <v>32</v>
      </c>
      <c r="I9">
        <v>1008.2</v>
      </c>
      <c r="P9" s="47" t="s">
        <v>32</v>
      </c>
      <c r="Q9" s="44">
        <v>1057</v>
      </c>
      <c r="R9" s="44">
        <v>1012</v>
      </c>
      <c r="S9" s="46">
        <v>1100</v>
      </c>
      <c r="T9" s="48">
        <f t="shared" si="0"/>
        <v>-3.9090909090909065</v>
      </c>
    </row>
    <row r="10" spans="3:25" x14ac:dyDescent="0.2">
      <c r="H10" t="s">
        <v>33</v>
      </c>
      <c r="I10">
        <v>1010.5</v>
      </c>
      <c r="P10" s="47" t="s">
        <v>33</v>
      </c>
      <c r="Q10" s="44">
        <v>1063.3</v>
      </c>
      <c r="R10" s="44">
        <v>1012</v>
      </c>
      <c r="S10" s="46">
        <v>1100</v>
      </c>
      <c r="T10" s="48">
        <f t="shared" si="0"/>
        <v>-3.3363636363636431</v>
      </c>
    </row>
    <row r="11" spans="3:25" x14ac:dyDescent="0.2">
      <c r="H11" t="s">
        <v>34</v>
      </c>
      <c r="I11">
        <v>1006.4</v>
      </c>
      <c r="P11" s="47" t="s">
        <v>34</v>
      </c>
      <c r="Q11" s="44">
        <v>1104.5</v>
      </c>
      <c r="R11" s="44">
        <v>1012</v>
      </c>
      <c r="S11" s="46">
        <v>1100</v>
      </c>
      <c r="T11" s="48">
        <f t="shared" si="0"/>
        <v>0.40909090909090651</v>
      </c>
    </row>
    <row r="12" spans="3:25" x14ac:dyDescent="0.2">
      <c r="C12" t="s">
        <v>19</v>
      </c>
      <c r="D12">
        <v>75</v>
      </c>
      <c r="E12" s="35">
        <v>12.417218543046358</v>
      </c>
      <c r="H12" t="s">
        <v>35</v>
      </c>
      <c r="I12">
        <v>998.1</v>
      </c>
      <c r="P12" s="47" t="s">
        <v>35</v>
      </c>
      <c r="Q12" s="44">
        <v>1115.5</v>
      </c>
      <c r="R12" s="44">
        <v>1012</v>
      </c>
      <c r="S12" s="46">
        <v>1100</v>
      </c>
      <c r="T12" s="48">
        <f t="shared" si="0"/>
        <v>1.4090909090909065</v>
      </c>
    </row>
    <row r="13" spans="3:25" x14ac:dyDescent="0.2">
      <c r="C13" t="s">
        <v>20</v>
      </c>
      <c r="D13">
        <v>100</v>
      </c>
      <c r="E13" s="35">
        <v>16.556291390728475</v>
      </c>
      <c r="H13" t="s">
        <v>36</v>
      </c>
      <c r="I13">
        <v>971.1</v>
      </c>
      <c r="P13" s="47" t="s">
        <v>36</v>
      </c>
      <c r="Q13" s="44">
        <v>1423.2</v>
      </c>
      <c r="R13" s="44">
        <v>1012</v>
      </c>
      <c r="S13" s="46">
        <v>1100</v>
      </c>
      <c r="T13" s="48">
        <f t="shared" si="0"/>
        <v>29.381818181818176</v>
      </c>
    </row>
    <row r="14" spans="3:25" x14ac:dyDescent="0.2">
      <c r="C14" t="s">
        <v>21</v>
      </c>
      <c r="D14">
        <v>134</v>
      </c>
      <c r="E14" s="35">
        <v>22.185430463576157</v>
      </c>
      <c r="H14" t="s">
        <v>37</v>
      </c>
      <c r="I14">
        <v>949.7</v>
      </c>
      <c r="P14" s="47" t="s">
        <v>37</v>
      </c>
      <c r="Q14" s="44">
        <v>1430.2</v>
      </c>
      <c r="R14" s="44">
        <v>1012</v>
      </c>
      <c r="S14" s="46">
        <v>1100</v>
      </c>
      <c r="T14" s="48">
        <f t="shared" si="0"/>
        <v>30.01818181818183</v>
      </c>
    </row>
    <row r="15" spans="3:25" x14ac:dyDescent="0.2">
      <c r="C15" t="s">
        <v>22</v>
      </c>
      <c r="D15">
        <v>12</v>
      </c>
      <c r="E15" s="35">
        <v>1.9867549668874172</v>
      </c>
      <c r="H15" t="s">
        <v>38</v>
      </c>
      <c r="I15">
        <v>933.8</v>
      </c>
      <c r="P15" s="47" t="s">
        <v>38</v>
      </c>
      <c r="Q15" s="44">
        <v>1606.6</v>
      </c>
      <c r="R15" s="44">
        <v>1012</v>
      </c>
      <c r="S15" s="46">
        <v>1100</v>
      </c>
      <c r="T15" s="48">
        <f t="shared" si="0"/>
        <v>46.054545454545462</v>
      </c>
    </row>
    <row r="16" spans="3:25" x14ac:dyDescent="0.2">
      <c r="C16" t="s">
        <v>23</v>
      </c>
      <c r="D16">
        <v>184</v>
      </c>
      <c r="E16" s="35">
        <v>30.463576158940398</v>
      </c>
      <c r="H16" t="s">
        <v>41</v>
      </c>
      <c r="I16">
        <v>949.4</v>
      </c>
      <c r="P16" s="47" t="s">
        <v>41</v>
      </c>
      <c r="Q16" s="44">
        <v>1596.8</v>
      </c>
      <c r="R16" s="44">
        <v>1012</v>
      </c>
      <c r="S16" s="46">
        <v>1100</v>
      </c>
      <c r="T16" s="48">
        <f t="shared" si="0"/>
        <v>45.163636363636357</v>
      </c>
    </row>
    <row r="17" spans="3:20" x14ac:dyDescent="0.2">
      <c r="C17" t="s">
        <v>24</v>
      </c>
      <c r="D17">
        <v>20</v>
      </c>
      <c r="E17" s="35">
        <v>3.3112582781456954</v>
      </c>
      <c r="H17" t="s">
        <v>43</v>
      </c>
      <c r="I17">
        <v>937</v>
      </c>
      <c r="P17" s="47" t="s">
        <v>43</v>
      </c>
      <c r="Q17" s="44">
        <v>1629.5</v>
      </c>
      <c r="R17" s="44">
        <v>1012</v>
      </c>
      <c r="S17" s="46">
        <v>1100</v>
      </c>
      <c r="T17" s="48">
        <f t="shared" si="0"/>
        <v>48.136363636363626</v>
      </c>
    </row>
    <row r="18" spans="3:20" x14ac:dyDescent="0.2">
      <c r="C18" t="s">
        <v>25</v>
      </c>
      <c r="D18">
        <v>79</v>
      </c>
      <c r="E18" s="35">
        <v>13.079470198675496</v>
      </c>
      <c r="H18" t="s">
        <v>44</v>
      </c>
      <c r="I18">
        <v>908</v>
      </c>
      <c r="P18" s="47" t="s">
        <v>44</v>
      </c>
      <c r="Q18" s="44">
        <v>1594.9</v>
      </c>
      <c r="R18" s="44">
        <v>1012</v>
      </c>
      <c r="S18" s="46">
        <v>1100</v>
      </c>
      <c r="T18" s="48">
        <f t="shared" si="0"/>
        <v>44.990909090909099</v>
      </c>
    </row>
    <row r="19" spans="3:20" x14ac:dyDescent="0.2">
      <c r="H19" t="s">
        <v>45</v>
      </c>
      <c r="I19">
        <v>897.7</v>
      </c>
      <c r="P19" s="47" t="s">
        <v>45</v>
      </c>
      <c r="Q19" s="44">
        <v>1445.8</v>
      </c>
      <c r="R19" s="44">
        <v>1012</v>
      </c>
      <c r="S19" s="46">
        <v>1100</v>
      </c>
      <c r="T19" s="46">
        <f t="shared" si="0"/>
        <v>31.436363636363637</v>
      </c>
    </row>
    <row r="20" spans="3:20" x14ac:dyDescent="0.2">
      <c r="F20" s="33" t="s">
        <v>39</v>
      </c>
      <c r="H20" s="33" t="s">
        <v>46</v>
      </c>
      <c r="I20" s="33">
        <v>892</v>
      </c>
      <c r="J20" s="33"/>
      <c r="K20" s="33"/>
      <c r="L20" s="33"/>
      <c r="M20" s="33"/>
      <c r="P20" s="47" t="s">
        <v>46</v>
      </c>
      <c r="Q20" s="44">
        <v>1463.8</v>
      </c>
      <c r="R20" s="44">
        <v>1012</v>
      </c>
      <c r="S20" s="46">
        <v>1100</v>
      </c>
      <c r="T20" s="46">
        <f t="shared" si="0"/>
        <v>33.072727272727263</v>
      </c>
    </row>
    <row r="21" spans="3:20" x14ac:dyDescent="0.2">
      <c r="F21">
        <v>1606</v>
      </c>
      <c r="G21" s="36"/>
      <c r="H21" t="s">
        <v>47</v>
      </c>
      <c r="I21">
        <v>883</v>
      </c>
      <c r="L21" s="37"/>
      <c r="M21" s="34"/>
      <c r="P21" s="47" t="s">
        <v>47</v>
      </c>
      <c r="Q21" s="44"/>
      <c r="R21" s="44">
        <v>1012</v>
      </c>
      <c r="S21" s="46"/>
      <c r="T21" s="46"/>
    </row>
    <row r="22" spans="3:20" x14ac:dyDescent="0.2">
      <c r="H22" t="s">
        <v>48</v>
      </c>
      <c r="I22">
        <v>884.4</v>
      </c>
      <c r="L22" s="37"/>
      <c r="M22" s="34"/>
      <c r="P22" s="47" t="s">
        <v>48</v>
      </c>
      <c r="Q22" s="44"/>
      <c r="R22" s="44">
        <v>1012</v>
      </c>
      <c r="S22" s="46"/>
      <c r="T22" s="46"/>
    </row>
    <row r="23" spans="3:20" x14ac:dyDescent="0.2">
      <c r="H23" t="s">
        <v>49</v>
      </c>
      <c r="I23">
        <v>899.1</v>
      </c>
      <c r="P23" s="47" t="s">
        <v>49</v>
      </c>
      <c r="Q23" s="44"/>
      <c r="R23" s="44">
        <v>1012</v>
      </c>
      <c r="S23" s="46"/>
      <c r="T23" s="46"/>
    </row>
    <row r="24" spans="3:20" x14ac:dyDescent="0.2">
      <c r="H24" t="s">
        <v>50</v>
      </c>
      <c r="I24">
        <v>897.1</v>
      </c>
      <c r="P24" s="47" t="s">
        <v>50</v>
      </c>
      <c r="Q24" s="44"/>
      <c r="R24" s="44">
        <v>1012</v>
      </c>
      <c r="S24" s="46"/>
      <c r="T24" s="46"/>
    </row>
    <row r="25" spans="3:20" x14ac:dyDescent="0.2">
      <c r="C25" s="33" t="s">
        <v>40</v>
      </c>
      <c r="H25" t="s">
        <v>51</v>
      </c>
      <c r="I25">
        <v>894.8</v>
      </c>
      <c r="P25" s="47" t="s">
        <v>51</v>
      </c>
      <c r="Q25" s="44"/>
      <c r="R25" s="44">
        <v>1012</v>
      </c>
      <c r="S25" s="46"/>
      <c r="T25" s="46"/>
    </row>
    <row r="26" spans="3:20" x14ac:dyDescent="0.2">
      <c r="H26" t="s">
        <v>52</v>
      </c>
      <c r="I26">
        <v>906.2</v>
      </c>
      <c r="P26" s="47" t="s">
        <v>52</v>
      </c>
      <c r="Q26" s="44"/>
      <c r="R26" s="44">
        <v>1012</v>
      </c>
      <c r="S26" s="46"/>
      <c r="T26" s="46"/>
    </row>
    <row r="27" spans="3:20" x14ac:dyDescent="0.2">
      <c r="H27" t="s">
        <v>53</v>
      </c>
      <c r="I27">
        <v>935.9</v>
      </c>
      <c r="P27" s="47" t="s">
        <v>53</v>
      </c>
      <c r="Q27" s="44"/>
      <c r="R27" s="44">
        <v>1012</v>
      </c>
      <c r="S27" s="46"/>
      <c r="T27" s="46"/>
    </row>
    <row r="28" spans="3:20" x14ac:dyDescent="0.2">
      <c r="C28" t="s">
        <v>19</v>
      </c>
      <c r="D28">
        <v>75</v>
      </c>
      <c r="E28" s="35">
        <v>12.417218543046358</v>
      </c>
      <c r="H28" t="s">
        <v>54</v>
      </c>
      <c r="I28">
        <v>994.5</v>
      </c>
      <c r="P28" s="47" t="s">
        <v>54</v>
      </c>
      <c r="Q28" s="44"/>
      <c r="R28" s="44">
        <v>1012</v>
      </c>
      <c r="S28" s="46"/>
      <c r="T28" s="46"/>
    </row>
    <row r="29" spans="3:20" x14ac:dyDescent="0.2">
      <c r="C29" t="s">
        <v>20</v>
      </c>
      <c r="D29">
        <v>100</v>
      </c>
      <c r="E29" s="35">
        <v>16.556291390728475</v>
      </c>
      <c r="H29" t="s">
        <v>55</v>
      </c>
      <c r="I29">
        <v>969</v>
      </c>
      <c r="P29" s="47" t="s">
        <v>55</v>
      </c>
      <c r="Q29" s="44"/>
      <c r="R29" s="44">
        <v>1012</v>
      </c>
      <c r="S29" s="46"/>
      <c r="T29" s="46"/>
    </row>
    <row r="30" spans="3:20" x14ac:dyDescent="0.2">
      <c r="H30" t="s">
        <v>56</v>
      </c>
      <c r="I30">
        <v>964.3</v>
      </c>
      <c r="P30" s="47" t="s">
        <v>56</v>
      </c>
      <c r="Q30" s="44"/>
      <c r="R30" s="44">
        <v>1012</v>
      </c>
      <c r="S30" s="46"/>
      <c r="T30" s="46"/>
    </row>
    <row r="31" spans="3:20" x14ac:dyDescent="0.2">
      <c r="C31" t="s">
        <v>22</v>
      </c>
      <c r="D31">
        <v>12</v>
      </c>
      <c r="E31" s="35">
        <v>1.9867549668874172</v>
      </c>
      <c r="H31" t="s">
        <v>57</v>
      </c>
      <c r="I31">
        <v>978.7</v>
      </c>
      <c r="P31" s="47" t="s">
        <v>57</v>
      </c>
      <c r="Q31" s="44"/>
      <c r="R31" s="44">
        <v>1012</v>
      </c>
      <c r="S31" s="46"/>
      <c r="T31" s="46"/>
    </row>
    <row r="32" spans="3:20" x14ac:dyDescent="0.2">
      <c r="C32" t="s">
        <v>23</v>
      </c>
      <c r="D32">
        <v>184</v>
      </c>
      <c r="E32" s="35">
        <v>30.463576158940398</v>
      </c>
      <c r="H32" t="s">
        <v>58</v>
      </c>
      <c r="I32">
        <v>993.2</v>
      </c>
      <c r="P32" s="47" t="s">
        <v>58</v>
      </c>
      <c r="Q32" s="44"/>
      <c r="R32" s="44">
        <v>1012</v>
      </c>
      <c r="S32" s="46"/>
      <c r="T32" s="46"/>
    </row>
    <row r="33" spans="3:20" x14ac:dyDescent="0.2">
      <c r="C33" t="s">
        <v>24</v>
      </c>
      <c r="D33">
        <v>20</v>
      </c>
      <c r="E33" s="35">
        <v>3.3112582781456954</v>
      </c>
      <c r="H33" t="s">
        <v>59</v>
      </c>
      <c r="I33">
        <v>979.4</v>
      </c>
      <c r="P33" s="47" t="s">
        <v>59</v>
      </c>
      <c r="Q33" s="44"/>
      <c r="R33" s="44">
        <v>1012</v>
      </c>
      <c r="S33" s="46"/>
      <c r="T33" s="46"/>
    </row>
    <row r="34" spans="3:20" x14ac:dyDescent="0.2">
      <c r="C34" t="s">
        <v>25</v>
      </c>
      <c r="D34">
        <v>79</v>
      </c>
      <c r="E34" s="35">
        <v>13.079470198675496</v>
      </c>
      <c r="H34" t="s">
        <v>60</v>
      </c>
      <c r="I34">
        <v>981.1</v>
      </c>
      <c r="P34" s="47" t="s">
        <v>60</v>
      </c>
      <c r="Q34" s="44"/>
      <c r="R34" s="44">
        <v>1012</v>
      </c>
      <c r="S34" s="46"/>
      <c r="T34" s="46"/>
    </row>
    <row r="35" spans="3:20" x14ac:dyDescent="0.2">
      <c r="C35" t="s">
        <v>21</v>
      </c>
      <c r="D35">
        <v>134</v>
      </c>
      <c r="E35" s="35">
        <v>22.185430463576157</v>
      </c>
      <c r="H35" t="s">
        <v>61</v>
      </c>
      <c r="I35">
        <v>960.9</v>
      </c>
      <c r="P35" s="47" t="s">
        <v>61</v>
      </c>
      <c r="Q35" s="44"/>
      <c r="R35" s="44">
        <v>1012</v>
      </c>
      <c r="S35" s="46"/>
      <c r="T35" s="46"/>
    </row>
    <row r="36" spans="3:20" x14ac:dyDescent="0.2">
      <c r="H36" t="s">
        <v>62</v>
      </c>
      <c r="I36">
        <v>936.2</v>
      </c>
      <c r="P36" s="47" t="s">
        <v>62</v>
      </c>
      <c r="Q36" s="44"/>
      <c r="R36" s="44">
        <v>1012</v>
      </c>
      <c r="S36" s="46"/>
      <c r="T36" s="46"/>
    </row>
    <row r="37" spans="3:20" x14ac:dyDescent="0.2">
      <c r="H37" t="s">
        <v>63</v>
      </c>
      <c r="I37">
        <v>944.4</v>
      </c>
      <c r="P37" s="47" t="s">
        <v>63</v>
      </c>
      <c r="Q37" s="44"/>
      <c r="R37" s="44">
        <v>1012</v>
      </c>
      <c r="S37" s="46"/>
      <c r="T37" s="46"/>
    </row>
    <row r="38" spans="3:20" x14ac:dyDescent="0.2">
      <c r="H38" t="s">
        <v>64</v>
      </c>
      <c r="I38">
        <v>958.5</v>
      </c>
      <c r="P38" s="47" t="s">
        <v>64</v>
      </c>
      <c r="Q38" s="44"/>
      <c r="R38" s="44">
        <v>1012</v>
      </c>
      <c r="S38" s="46"/>
      <c r="T38" s="46"/>
    </row>
    <row r="39" spans="3:20" x14ac:dyDescent="0.2">
      <c r="H39" t="s">
        <v>65</v>
      </c>
      <c r="I39">
        <v>976.1</v>
      </c>
      <c r="P39" s="47" t="s">
        <v>65</v>
      </c>
      <c r="Q39" s="44"/>
      <c r="R39" s="44">
        <v>1012</v>
      </c>
      <c r="S39" s="46"/>
      <c r="T39" s="46"/>
    </row>
    <row r="40" spans="3:20" x14ac:dyDescent="0.2">
      <c r="H40" t="s">
        <v>66</v>
      </c>
      <c r="I40">
        <v>982.5</v>
      </c>
      <c r="P40" s="47" t="s">
        <v>66</v>
      </c>
      <c r="Q40" s="44"/>
      <c r="R40" s="44">
        <v>1012</v>
      </c>
      <c r="S40" s="46"/>
      <c r="T40" s="46"/>
    </row>
    <row r="41" spans="3:20" x14ac:dyDescent="0.2">
      <c r="H41" t="s">
        <v>67</v>
      </c>
      <c r="I41">
        <v>885.5</v>
      </c>
      <c r="P41" s="47" t="s">
        <v>67</v>
      </c>
      <c r="Q41" s="44"/>
      <c r="R41" s="44">
        <v>1012</v>
      </c>
      <c r="S41" s="46"/>
      <c r="T41" s="46"/>
    </row>
    <row r="42" spans="3:20" x14ac:dyDescent="0.2">
      <c r="H42" t="s">
        <v>68</v>
      </c>
      <c r="I42">
        <v>998.4</v>
      </c>
      <c r="P42" s="47" t="s">
        <v>68</v>
      </c>
      <c r="Q42" s="44"/>
      <c r="R42" s="44">
        <v>1012</v>
      </c>
      <c r="S42" s="46"/>
      <c r="T42" s="46"/>
    </row>
    <row r="43" spans="3:20" x14ac:dyDescent="0.2">
      <c r="H43" t="s">
        <v>69</v>
      </c>
      <c r="I43">
        <v>980</v>
      </c>
      <c r="P43" s="47" t="s">
        <v>69</v>
      </c>
      <c r="Q43" s="44"/>
      <c r="R43" s="44">
        <v>1012</v>
      </c>
      <c r="S43" s="46"/>
      <c r="T43" s="46"/>
    </row>
    <row r="44" spans="3:20" x14ac:dyDescent="0.2">
      <c r="H44" t="s">
        <v>70</v>
      </c>
      <c r="I44">
        <v>979.2</v>
      </c>
      <c r="P44" s="47" t="s">
        <v>70</v>
      </c>
      <c r="Q44" s="44"/>
      <c r="R44" s="44">
        <v>1012</v>
      </c>
      <c r="S44" s="46"/>
      <c r="T44" s="46"/>
    </row>
    <row r="45" spans="3:20" x14ac:dyDescent="0.2">
      <c r="H45" t="s">
        <v>71</v>
      </c>
      <c r="I45">
        <v>961.5</v>
      </c>
      <c r="P45" s="47" t="s">
        <v>71</v>
      </c>
      <c r="Q45" s="44"/>
      <c r="R45" s="44">
        <v>1012</v>
      </c>
      <c r="S45" s="46"/>
      <c r="T45" s="46"/>
    </row>
    <row r="46" spans="3:20" x14ac:dyDescent="0.2">
      <c r="H46" t="s">
        <v>72</v>
      </c>
      <c r="I46">
        <v>995.8</v>
      </c>
      <c r="P46" s="47" t="s">
        <v>72</v>
      </c>
      <c r="Q46" s="44"/>
      <c r="R46" s="44">
        <v>1012</v>
      </c>
      <c r="S46" s="46"/>
      <c r="T46" s="46"/>
    </row>
    <row r="47" spans="3:20" x14ac:dyDescent="0.2">
      <c r="H47" t="s">
        <v>73</v>
      </c>
      <c r="I47">
        <v>1006.3</v>
      </c>
      <c r="P47" s="47" t="s">
        <v>73</v>
      </c>
      <c r="Q47" s="44"/>
      <c r="R47" s="44">
        <v>1012</v>
      </c>
      <c r="S47" s="46"/>
      <c r="T47" s="46"/>
    </row>
    <row r="48" spans="3:20" x14ac:dyDescent="0.2">
      <c r="H48" t="s">
        <v>74</v>
      </c>
      <c r="I48">
        <v>1040.3</v>
      </c>
      <c r="P48" s="47" t="s">
        <v>74</v>
      </c>
      <c r="Q48" s="44"/>
      <c r="R48" s="44">
        <v>1012</v>
      </c>
      <c r="S48" s="46"/>
      <c r="T48" s="46"/>
    </row>
    <row r="49" spans="8:20" x14ac:dyDescent="0.2">
      <c r="H49" t="s">
        <v>75</v>
      </c>
      <c r="I49">
        <v>1046</v>
      </c>
      <c r="P49" s="47" t="s">
        <v>75</v>
      </c>
      <c r="Q49" s="44"/>
      <c r="R49" s="44">
        <v>1012</v>
      </c>
      <c r="S49" s="46"/>
      <c r="T49" s="46"/>
    </row>
    <row r="50" spans="8:20" x14ac:dyDescent="0.2">
      <c r="H50" t="s">
        <v>76</v>
      </c>
      <c r="I50">
        <v>1063</v>
      </c>
      <c r="P50" s="47" t="s">
        <v>76</v>
      </c>
      <c r="Q50" s="44"/>
      <c r="R50" s="44">
        <v>1012</v>
      </c>
      <c r="S50" s="46"/>
      <c r="T50" s="46"/>
    </row>
    <row r="51" spans="8:20" x14ac:dyDescent="0.2">
      <c r="H51" t="s">
        <v>77</v>
      </c>
      <c r="I51">
        <v>1034.9000000000001</v>
      </c>
      <c r="P51" s="47" t="s">
        <v>77</v>
      </c>
      <c r="Q51" s="44"/>
      <c r="R51" s="44">
        <v>1012</v>
      </c>
      <c r="S51" s="46"/>
      <c r="T51" s="46"/>
    </row>
    <row r="52" spans="8:20" x14ac:dyDescent="0.2">
      <c r="H52" t="s">
        <v>78</v>
      </c>
      <c r="I52">
        <v>1021.1</v>
      </c>
      <c r="P52" s="47" t="s">
        <v>78</v>
      </c>
      <c r="Q52" s="44"/>
      <c r="R52" s="44">
        <v>1012</v>
      </c>
      <c r="S52" s="46"/>
      <c r="T52" s="46"/>
    </row>
    <row r="53" spans="8:20" x14ac:dyDescent="0.2">
      <c r="H53" t="s">
        <v>79</v>
      </c>
      <c r="I53">
        <v>984.1</v>
      </c>
      <c r="P53" s="47" t="s">
        <v>79</v>
      </c>
      <c r="Q53" s="44"/>
      <c r="R53" s="44">
        <v>1012</v>
      </c>
      <c r="S53" s="46"/>
      <c r="T53" s="46"/>
    </row>
    <row r="54" spans="8:20" x14ac:dyDescent="0.2">
      <c r="H54" t="s">
        <v>80</v>
      </c>
      <c r="I54">
        <v>945.6</v>
      </c>
      <c r="P54" s="47" t="s">
        <v>80</v>
      </c>
      <c r="Q54" s="44"/>
      <c r="R54" s="44">
        <v>1012</v>
      </c>
      <c r="S54" s="46"/>
      <c r="T54" s="46"/>
    </row>
  </sheetData>
  <phoneticPr fontId="9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3531E15A03E3C4D95ABF72C815F59BB" ma:contentTypeVersion="11" ma:contentTypeDescription="Create a new document." ma:contentTypeScope="" ma:versionID="6b146a4286237736b6c1993237f574e8">
  <xsd:schema xmlns:xsd="http://www.w3.org/2001/XMLSchema" xmlns:xs="http://www.w3.org/2001/XMLSchema" xmlns:p="http://schemas.microsoft.com/office/2006/metadata/properties" xmlns:ns2="12572cfc-5722-4737-9724-51e883ef3807" xmlns:ns3="829e5541-6bea-47db-88ad-57f223ab11af" targetNamespace="http://schemas.microsoft.com/office/2006/metadata/properties" ma:root="true" ma:fieldsID="4a8ee4b0cf41568d8ece78658f88d9f7" ns2:_="" ns3:_="">
    <xsd:import namespace="12572cfc-5722-4737-9724-51e883ef3807"/>
    <xsd:import namespace="829e5541-6bea-47db-88ad-57f223ab11a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ObjectDetectorVersions" minOccurs="0"/>
                <xsd:element ref="ns2:MediaServiceSearchProperties" minOccurs="0"/>
                <xsd:element ref="ns2:MediaServiceDateTake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2572cfc-5722-4737-9724-51e883ef380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1" nillable="true" ma:taxonomy="true" ma:internalName="lcf76f155ced4ddcb4097134ff3c332f" ma:taxonomyFieldName="MediaServiceImageTags" ma:displayName="Image Tags" ma:readOnly="false" ma:fieldId="{5cf76f15-5ced-4ddc-b409-7134ff3c332f}" ma:taxonomyMulti="true" ma:sspId="3adaee1b-a1f0-4e31-9ea8-4fdc66ad48c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ObjectDetectorVersions" ma:index="16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7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8" nillable="true" ma:displayName="MediaServiceDateTaken" ma:hidden="true" ma:indexed="true" ma:internalName="MediaServiceDateTake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29e5541-6bea-47db-88ad-57f223ab11af" elementFormDefault="qualified">
    <xsd:import namespace="http://schemas.microsoft.com/office/2006/documentManagement/types"/>
    <xsd:import namespace="http://schemas.microsoft.com/office/infopath/2007/PartnerControls"/>
    <xsd:element name="TaxCatchAll" ma:index="12" nillable="true" ma:displayName="Taxonomy Catch All Column" ma:hidden="true" ma:list="{4f6d57b3-13b7-48c9-bc0e-ad89bb46dfa7}" ma:internalName="TaxCatchAll" ma:showField="CatchAllData" ma:web="829e5541-6bea-47db-88ad-57f223ab11a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829e5541-6bea-47db-88ad-57f223ab11af" xsi:nil="true"/>
    <lcf76f155ced4ddcb4097134ff3c332f xmlns="12572cfc-5722-4737-9724-51e883ef3807">
      <Terms xmlns="http://schemas.microsoft.com/office/infopath/2007/PartnerControls"/>
    </lcf76f155ced4ddcb4097134ff3c332f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53D9282A-B2C6-47B2-8D27-52BE699AD1C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2572cfc-5722-4737-9724-51e883ef3807"/>
    <ds:schemaRef ds:uri="829e5541-6bea-47db-88ad-57f223ab11a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A84884E0-F5EA-4C63-9B1F-DC278C61A7AD}">
  <ds:schemaRefs>
    <ds:schemaRef ds:uri="http://purl.org/dc/elements/1.1/"/>
    <ds:schemaRef ds:uri="12572cfc-5722-4737-9724-51e883ef3807"/>
    <ds:schemaRef ds:uri="http://schemas.microsoft.com/office/2006/documentManagement/types"/>
    <ds:schemaRef ds:uri="http://www.w3.org/XML/1998/namespace"/>
    <ds:schemaRef ds:uri="http://purl.org/dc/terms/"/>
    <ds:schemaRef ds:uri="http://purl.org/dc/dcmitype/"/>
    <ds:schemaRef ds:uri="http://schemas.microsoft.com/office/infopath/2007/PartnerControls"/>
    <ds:schemaRef ds:uri="http://schemas.openxmlformats.org/package/2006/metadata/core-properties"/>
    <ds:schemaRef ds:uri="829e5541-6bea-47db-88ad-57f223ab11af"/>
    <ds:schemaRef ds:uri="http://schemas.microsoft.com/office/2006/metadata/properties"/>
  </ds:schemaRefs>
</ds:datastoreItem>
</file>

<file path=customXml/itemProps3.xml><?xml version="1.0" encoding="utf-8"?>
<ds:datastoreItem xmlns:ds="http://schemas.openxmlformats.org/officeDocument/2006/customXml" ds:itemID="{0A67AEF2-CDA8-4133-B145-0D76EA0D4A89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Werkbladen</vt:lpstr>
      </vt:variant>
      <vt:variant>
        <vt:i4>2</vt:i4>
      </vt:variant>
      <vt:variant>
        <vt:lpstr>Benoemde bereiken</vt:lpstr>
      </vt:variant>
      <vt:variant>
        <vt:i4>1</vt:i4>
      </vt:variant>
    </vt:vector>
  </HeadingPairs>
  <TitlesOfParts>
    <vt:vector size="3" baseType="lpstr">
      <vt:lpstr>Insteekhavens Moerdijk</vt:lpstr>
      <vt:lpstr>Blad1</vt:lpstr>
      <vt:lpstr>'Insteekhavens Moerdijk'!Afdruktitels</vt:lpstr>
    </vt:vector>
  </TitlesOfParts>
  <Manager/>
  <Company>Baggerbedrijf De Boer B.V.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DPHD - loskosten Depot Hollandsch Diep</dc:title>
  <dc:subject/>
  <dc:creator>Agnes van der Wilt</dc:creator>
  <cp:keywords/>
  <dc:description/>
  <cp:lastModifiedBy>Tom Schenau</cp:lastModifiedBy>
  <cp:revision/>
  <cp:lastPrinted>2026-04-24T13:02:11Z</cp:lastPrinted>
  <dcterms:created xsi:type="dcterms:W3CDTF">2005-11-16T13:07:31Z</dcterms:created>
  <dcterms:modified xsi:type="dcterms:W3CDTF">2026-05-11T18:57:00Z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0x01010033531E15A03E3C4D95ABF72C815F59BB</vt:lpwstr>
  </property>
  <property fmtid="{D5CDD505-2E9C-101B-9397-08002B2CF9AE}" pid="3" name="MediaServiceImageTags">
    <vt:lpwstr/>
  </property>
</Properties>
</file>